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<sst xmlns="http://schemas.openxmlformats.org/spreadsheetml/2006/main" count="35" uniqueCount="27">
  <si>
    <t>Branch / Dept code</t>
  </si>
  <si>
    <t>Sub-branch / Sub-dept Code</t>
  </si>
  <si>
    <t>Plate no. / CS no</t>
  </si>
  <si>
    <t>Category</t>
  </si>
  <si>
    <t>Type of lease</t>
  </si>
  <si>
    <t>Vehicle daily rate</t>
  </si>
  <si>
    <t>No. of days used</t>
  </si>
  <si>
    <t>Vehicle charges</t>
  </si>
  <si>
    <t>Driver's OT charges</t>
  </si>
  <si>
    <t>Driver’s charges (Excluding OT)</t>
  </si>
  <si>
    <t>Fuel charges</t>
  </si>
  <si>
    <t>Other charges</t>
  </si>
  <si>
    <t>Total charges</t>
  </si>
  <si>
    <t>Km. run</t>
  </si>
  <si>
    <t>Covered month and year (mm-yy)</t>
  </si>
  <si>
    <t>Remarks</t>
  </si>
  <si>
    <t>BCD</t>
  </si>
  <si>
    <t>NGY 5599</t>
  </si>
  <si>
    <t>4 wheels</t>
  </si>
  <si>
    <t>Wet</t>
  </si>
  <si>
    <t>100</t>
  </si>
  <si>
    <t>08-23</t>
  </si>
  <si>
    <t/>
  </si>
  <si>
    <t>Dry</t>
  </si>
  <si>
    <t>Defective</t>
  </si>
  <si>
    <t>CEB</t>
  </si>
  <si>
    <t>NFN 3921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</si>
</sst>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rgb="FF4b5563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quotePrefix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"/>
  <sheetViews>
    <sheetView workbookViewId="0" tabSelected="1"/>
  </sheetViews>
  <sheetFormatPr defaultRowHeight="15" x14ac:dyDescent="0.25"/>
  <cols>
    <col min="1" max="1" style="10" width="22.005" customWidth="1" bestFit="1"/>
    <col min="2" max="2" style="11" width="30.14785714285714" customWidth="1" bestFit="1"/>
    <col min="3" max="3" style="10" width="15.719285714285713" customWidth="1" bestFit="1"/>
    <col min="4" max="4" style="10" width="8.719285714285713" customWidth="1" bestFit="1"/>
    <col min="5" max="5" style="10" width="16.576428571428572" customWidth="1" bestFit="1"/>
    <col min="6" max="6" style="12" width="15.719285714285713" customWidth="1" bestFit="1"/>
    <col min="7" max="7" style="12" width="15.719285714285713" customWidth="1" bestFit="1"/>
    <col min="8" max="8" style="11" width="14.719285714285713" customWidth="1" bestFit="1"/>
    <col min="9" max="9" style="13" width="37.57642857142857" customWidth="1" bestFit="1"/>
    <col min="10" max="10" style="12" width="48.005" customWidth="1" bestFit="1"/>
    <col min="11" max="11" style="12" width="12.147857142857141" customWidth="1" bestFit="1"/>
    <col min="12" max="12" style="12" width="13.290714285714287" customWidth="1" bestFit="1"/>
    <col min="13" max="13" style="11" width="12.719285714285713" customWidth="1" bestFit="1"/>
    <col min="14" max="14" style="14" width="8.719285714285713" customWidth="1" bestFit="1"/>
    <col min="15" max="15" style="10" width="30.14785714285714" customWidth="1" bestFit="1"/>
    <col min="16" max="16" style="13" width="29.290714285714284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4" t="s">
        <v>13</v>
      </c>
      <c r="O1" s="1" t="s">
        <v>14</v>
      </c>
      <c r="P1" s="1" t="s">
        <v>15</v>
      </c>
    </row>
    <row x14ac:dyDescent="0.25" r="2" customHeight="1" ht="19.5">
      <c r="A2" s="5" t="s">
        <v>16</v>
      </c>
      <c r="B2" s="6"/>
      <c r="C2" s="7" t="s">
        <v>17</v>
      </c>
      <c r="D2" s="7" t="s">
        <v>18</v>
      </c>
      <c r="E2" s="5" t="s">
        <v>19</v>
      </c>
      <c r="F2" s="6">
        <v>1500</v>
      </c>
      <c r="G2" s="6">
        <v>10</v>
      </c>
      <c r="H2" s="6">
        <f>F2*G2</f>
      </c>
      <c r="I2" s="3"/>
      <c r="J2" s="6">
        <v>1000</v>
      </c>
      <c r="K2" s="6">
        <v>1000</v>
      </c>
      <c r="L2" s="6">
        <v>500</v>
      </c>
      <c r="M2" s="6">
        <f>J2+K2+L2+H2</f>
      </c>
      <c r="N2" s="8" t="s">
        <v>20</v>
      </c>
      <c r="O2" s="5" t="s">
        <v>21</v>
      </c>
      <c r="P2" s="3"/>
    </row>
    <row x14ac:dyDescent="0.25" r="3" customHeight="1" ht="19.5">
      <c r="A3" s="5" t="s">
        <v>16</v>
      </c>
      <c r="B3" s="9" t="s">
        <v>22</v>
      </c>
      <c r="C3" s="7" t="s">
        <v>17</v>
      </c>
      <c r="D3" s="7" t="s">
        <v>18</v>
      </c>
      <c r="E3" s="5" t="s">
        <v>23</v>
      </c>
      <c r="F3" s="6">
        <v>1500</v>
      </c>
      <c r="G3" s="6">
        <v>5</v>
      </c>
      <c r="H3" s="6">
        <f>F3*G3</f>
      </c>
      <c r="I3" s="3"/>
      <c r="J3" s="6"/>
      <c r="K3" s="6"/>
      <c r="L3" s="6"/>
      <c r="M3" s="6">
        <f>J3+K3+L3+H3</f>
      </c>
      <c r="N3" s="8" t="s">
        <v>24</v>
      </c>
      <c r="O3" s="5" t="s">
        <v>21</v>
      </c>
      <c r="P3" s="3"/>
    </row>
    <row x14ac:dyDescent="0.25" r="4" customHeight="1" ht="19.5">
      <c r="A4" s="5" t="s">
        <v>25</v>
      </c>
      <c r="B4" s="6"/>
      <c r="C4" s="7" t="s">
        <v>26</v>
      </c>
      <c r="D4" s="7" t="s">
        <v>18</v>
      </c>
      <c r="E4" s="5" t="s">
        <v>19</v>
      </c>
      <c r="F4" s="6">
        <v>1500</v>
      </c>
      <c r="G4" s="6">
        <v>7</v>
      </c>
      <c r="H4" s="6">
        <f>F4*G4</f>
      </c>
      <c r="I4" s="3"/>
      <c r="J4" s="6">
        <v>1000</v>
      </c>
      <c r="K4" s="6">
        <v>1000</v>
      </c>
      <c r="L4" s="6">
        <v>500</v>
      </c>
      <c r="M4" s="6">
        <f>J4+K4+L4+H4</f>
      </c>
      <c r="N4" s="8" t="s">
        <v>20</v>
      </c>
      <c r="O4" s="5" t="s">
        <v>21</v>
      </c>
      <c r="P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2024-07-03T06:23:19.124Z</dcterms:created>
  <dcterms:modified xsi:type="dcterms:W3CDTF">2024-07-03T06:23:19.124Z</dcterms:modified>
</cp:coreProperties>
</file>